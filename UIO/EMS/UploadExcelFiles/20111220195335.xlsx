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Course - X" sheetId="1" r:id="rId1"/>
  </sheets>
  <definedNames>
    <definedName name="grd">'Course - X'!$M$13:$N$23</definedName>
  </definedNames>
  <calcPr calcId="144525"/>
</workbook>
</file>

<file path=xl/calcChain.xml><?xml version="1.0" encoding="utf-8"?>
<calcChain xmlns="http://schemas.openxmlformats.org/spreadsheetml/2006/main">
  <c r="E7" i="1" l="1"/>
  <c r="A5" i="1"/>
  <c r="A4" i="1"/>
  <c r="A3" i="1"/>
  <c r="A2" i="1"/>
</calcChain>
</file>

<file path=xl/sharedStrings.xml><?xml version="1.0" encoding="utf-8"?>
<sst xmlns="http://schemas.openxmlformats.org/spreadsheetml/2006/main" count="57" uniqueCount="48">
  <si>
    <t xml:space="preserve">Tasnim   </t>
  </si>
  <si>
    <t xml:space="preserve">Md. Zakirul   </t>
  </si>
  <si>
    <t xml:space="preserve">Md.Golam   </t>
  </si>
  <si>
    <t xml:space="preserve">Kazi Yousuf   </t>
  </si>
  <si>
    <t xml:space="preserve">Syed   </t>
  </si>
  <si>
    <t>A</t>
  </si>
  <si>
    <t>B</t>
  </si>
  <si>
    <t>C</t>
  </si>
  <si>
    <t>D</t>
  </si>
  <si>
    <t>Grade</t>
  </si>
  <si>
    <r>
      <t xml:space="preserve">United </t>
    </r>
    <r>
      <rPr>
        <sz val="15"/>
        <rFont val="Arial"/>
        <family val="2"/>
      </rPr>
      <t>International</t>
    </r>
    <r>
      <rPr>
        <b/>
        <sz val="15"/>
        <rFont val="Arial"/>
        <family val="2"/>
      </rPr>
      <t xml:space="preserve"> University</t>
    </r>
  </si>
  <si>
    <t xml:space="preserve"> Grade Sheet</t>
  </si>
  <si>
    <t>Sl.</t>
  </si>
  <si>
    <t>Student Name</t>
  </si>
  <si>
    <t>Student ID</t>
  </si>
  <si>
    <t>Total</t>
  </si>
  <si>
    <t>Att.</t>
  </si>
  <si>
    <t>Lab Performance</t>
  </si>
  <si>
    <t>Report</t>
  </si>
  <si>
    <t>Mid 
Evaluation</t>
  </si>
  <si>
    <t>Final</t>
  </si>
  <si>
    <t>Project</t>
  </si>
  <si>
    <r>
      <rPr>
        <b/>
        <sz val="10"/>
        <color indexed="51"/>
        <rFont val="Arial"/>
        <family val="2"/>
      </rPr>
      <t>.</t>
    </r>
    <r>
      <rPr>
        <b/>
        <sz val="10"/>
        <rFont val="Arial"/>
        <family val="2"/>
      </rPr>
      <t>W / I</t>
    </r>
    <r>
      <rPr>
        <b/>
        <sz val="10"/>
        <color indexed="51"/>
        <rFont val="Arial"/>
        <family val="2"/>
      </rPr>
      <t>.</t>
    </r>
  </si>
  <si>
    <t>Weight ( % )</t>
  </si>
  <si>
    <t>Program</t>
  </si>
  <si>
    <t>EEE</t>
  </si>
  <si>
    <t>Semester:</t>
  </si>
  <si>
    <t>Summer   2011</t>
  </si>
  <si>
    <t>Course Code:</t>
  </si>
  <si>
    <t>EEE 210</t>
  </si>
  <si>
    <t>Course Title:</t>
  </si>
  <si>
    <t>Electrical Measurement Laboratory</t>
  </si>
  <si>
    <t>Section:</t>
  </si>
  <si>
    <t>Faculty Name:</t>
  </si>
  <si>
    <t>Mr.Intekab Alam</t>
  </si>
  <si>
    <t>Initial:</t>
  </si>
  <si>
    <t>IA</t>
  </si>
  <si>
    <t>F</t>
  </si>
  <si>
    <t>D+</t>
  </si>
  <si>
    <t>C-</t>
  </si>
  <si>
    <t>W</t>
  </si>
  <si>
    <t>C+</t>
  </si>
  <si>
    <t>B-</t>
  </si>
  <si>
    <t>B+</t>
  </si>
  <si>
    <t>A-</t>
  </si>
  <si>
    <t>as ds aa</t>
  </si>
  <si>
    <t>E</t>
  </si>
  <si>
    <t>abir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</si>
</sst>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b/>
      <sz val="15"/>
      <name val="Arial"/>
      <family val="2"/>
    </font>
    <font>
      <sz val="15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10"/>
      <color indexed="9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b/>
      <sz val="10"/>
      <color indexed="51"/>
      <name val="Arial"/>
      <family val="2"/>
    </font>
    <font>
      <b/>
      <sz val="10"/>
      <color indexed="62"/>
      <name val="Arial"/>
      <family val="2"/>
    </font>
    <font>
      <b/>
      <sz val="10"/>
      <color indexed="18"/>
      <name val="Arial"/>
      <family val="2"/>
    </font>
    <font>
      <b/>
      <sz val="8"/>
      <color indexed="18"/>
      <name val="Arial"/>
      <family val="2"/>
    </font>
    <font>
      <b/>
      <sz val="8"/>
      <color indexed="62"/>
      <name val="Arial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0"/>
      <color indexed="8"/>
      <name val="Times New Roman"/>
      <family val="1"/>
    </font>
    <font>
      <sz val="12"/>
      <name val="Times New Roman"/>
      <family val="1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8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49" fontId="14" fillId="2" borderId="6" xfId="0" applyNumberFormat="1" applyFont="1" applyFill="1" applyBorder="1" applyAlignment="1">
      <alignment horizontal="center" vertical="center"/>
    </xf>
    <xf numFmtId="49" fontId="14" fillId="2" borderId="6" xfId="0" applyNumberFormat="1" applyFont="1" applyFill="1" applyBorder="1" applyAlignment="1">
      <alignment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6" fillId="2" borderId="5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9" fillId="0" borderId="11" xfId="0" applyFont="1" applyFill="1" applyBorder="1" applyAlignment="1">
      <alignment vertical="top"/>
    </xf>
    <xf numFmtId="0" fontId="20" fillId="0" borderId="0" xfId="0" applyFont="1"/>
    <xf numFmtId="0" fontId="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15">
    <dxf>
      <font>
        <b/>
        <i/>
        <condense val="0"/>
        <extend val="0"/>
        <color indexed="34"/>
      </font>
      <fill>
        <patternFill>
          <bgColor indexed="10"/>
        </patternFill>
      </fill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  <color indexed="34"/>
      </font>
      <fill>
        <patternFill>
          <bgColor indexed="10"/>
        </patternFill>
      </fill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  <color indexed="34"/>
      </font>
      <fill>
        <patternFill>
          <bgColor indexed="10"/>
        </patternFill>
      </fill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  <color indexed="34"/>
      </font>
      <fill>
        <patternFill>
          <bgColor indexed="10"/>
        </patternFill>
      </fill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0"/>
      </font>
      <fill>
        <patternFill>
          <bgColor indexed="4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  <color indexed="34"/>
      </font>
      <fill>
        <patternFill>
          <bgColor indexed="10"/>
        </patternFill>
      </fill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6</xdr:row>
      <xdr:rowOff>95250</xdr:rowOff>
    </xdr:from>
    <xdr:to>
      <xdr:col>3</xdr:col>
      <xdr:colOff>400050</xdr:colOff>
      <xdr:row>6</xdr:row>
      <xdr:rowOff>95250</xdr:rowOff>
    </xdr:to>
    <xdr:sp macro="" textlink="">
      <xdr:nvSpPr>
        <xdr:cNvPr id="2" name="Line 26"/>
        <xdr:cNvSpPr>
          <a:spLocks noChangeShapeType="1"/>
        </xdr:cNvSpPr>
      </xdr:nvSpPr>
      <xdr:spPr bwMode="auto">
        <a:xfrm>
          <a:off x="3181350" y="167640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95250</xdr:colOff>
      <xdr:row>6</xdr:row>
      <xdr:rowOff>95250</xdr:rowOff>
    </xdr:from>
    <xdr:to>
      <xdr:col>3</xdr:col>
      <xdr:colOff>400050</xdr:colOff>
      <xdr:row>6</xdr:row>
      <xdr:rowOff>95250</xdr:rowOff>
    </xdr:to>
    <xdr:sp macro="" textlink="">
      <xdr:nvSpPr>
        <xdr:cNvPr id="3" name="Line 26"/>
        <xdr:cNvSpPr>
          <a:spLocks noChangeShapeType="1"/>
        </xdr:cNvSpPr>
      </xdr:nvSpPr>
      <xdr:spPr bwMode="auto">
        <a:xfrm>
          <a:off x="3181350" y="167640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abSelected="1" topLeftCell="A4" workbookViewId="0">
      <selection activeCell="G13" sqref="G13"/>
    </sheetView>
  </sheetViews>
  <sheetFormatPr defaultRowHeight="15" x14ac:dyDescent="0.25"/>
  <cols>
    <col min="1" max="1" width="17.140625" customWidth="1"/>
    <col min="2" max="2" width="11.28515625" bestFit="1" customWidth="1"/>
    <col min="3" max="3" width="12.85546875" bestFit="1" customWidth="1"/>
  </cols>
  <sheetData>
    <row r="1" spans="1:18" ht="19.5" x14ac:dyDescent="0.25">
      <c r="A1" s="45" t="s">
        <v>10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31"/>
      <c r="N1" s="31"/>
      <c r="O1" s="32"/>
      <c r="P1" s="32"/>
      <c r="Q1" s="32"/>
      <c r="R1" s="32"/>
    </row>
    <row r="2" spans="1:18" ht="15.75" x14ac:dyDescent="0.25">
      <c r="A2" s="1" t="str">
        <f>CONCATENATE(O3," Program","                           School of Science and Engineering")</f>
        <v>EEE Program                           School of Science and Engineering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31"/>
      <c r="N2" s="31"/>
      <c r="O2" s="32"/>
      <c r="P2" s="32"/>
      <c r="Q2" s="32"/>
      <c r="R2" s="32"/>
    </row>
    <row r="3" spans="1:18" ht="15.75" x14ac:dyDescent="0.25">
      <c r="A3" s="2" t="str">
        <f>+CONCATENATE("Semester: ",PROPER(O4))</f>
        <v>Semester: Summer   2011</v>
      </c>
      <c r="B3" s="2"/>
      <c r="C3" s="46" t="s">
        <v>11</v>
      </c>
      <c r="D3" s="46"/>
      <c r="E3" s="46"/>
      <c r="F3" s="3"/>
      <c r="G3" s="4"/>
      <c r="H3" s="4"/>
      <c r="I3" s="4"/>
      <c r="J3" s="4"/>
      <c r="K3" s="4"/>
      <c r="L3" s="5"/>
      <c r="M3" s="33" t="s">
        <v>24</v>
      </c>
      <c r="N3" s="33"/>
      <c r="O3" s="34" t="s">
        <v>25</v>
      </c>
      <c r="P3" s="32"/>
      <c r="Q3" s="32"/>
      <c r="R3" s="32"/>
    </row>
    <row r="4" spans="1:18" ht="18" x14ac:dyDescent="0.25">
      <c r="A4" s="6" t="str">
        <f>+CONCATENATE("Course Code: ",UPPER(O7),",","  Course Title:"," ",O8)</f>
        <v>Course Code: EEE 210,  Course Title: Electrical Measurement Laboratory</v>
      </c>
      <c r="B4" s="7"/>
      <c r="C4" s="8"/>
      <c r="D4" s="9"/>
      <c r="E4" s="9"/>
      <c r="F4" s="10"/>
      <c r="G4" s="11"/>
      <c r="H4" s="11"/>
      <c r="I4" s="11"/>
      <c r="J4" s="11"/>
      <c r="K4" s="11"/>
      <c r="L4" s="12"/>
      <c r="M4" s="33" t="s">
        <v>26</v>
      </c>
      <c r="N4" s="33"/>
      <c r="O4" s="6" t="s">
        <v>27</v>
      </c>
      <c r="P4" s="6"/>
      <c r="Q4" s="6"/>
      <c r="R4" s="7"/>
    </row>
    <row r="5" spans="1:18" ht="18.75" thickBot="1" x14ac:dyDescent="0.3">
      <c r="A5" s="6" t="str">
        <f>+CONCATENATE("Section:"," ",PROPER(O9),",","   Faculty: ",PROPER(O10),"  [ ",O11," ]")</f>
        <v>Section: B,   Faculty: Mr.Intekab Alam  [ IA ]</v>
      </c>
      <c r="B5" s="7"/>
      <c r="C5" s="8"/>
      <c r="D5" s="9"/>
      <c r="E5" s="9"/>
      <c r="F5" s="47"/>
      <c r="G5" s="47"/>
      <c r="H5" s="47"/>
      <c r="I5" s="47"/>
      <c r="J5" s="47"/>
      <c r="K5" s="13"/>
      <c r="L5" s="13"/>
      <c r="M5" s="31"/>
      <c r="N5" s="35">
        <v>2</v>
      </c>
      <c r="O5" s="32"/>
      <c r="P5" s="6"/>
      <c r="Q5" s="6"/>
      <c r="R5" s="7"/>
    </row>
    <row r="6" spans="1:18" ht="36.75" thickBot="1" x14ac:dyDescent="0.3">
      <c r="A6" s="14" t="s">
        <v>12</v>
      </c>
      <c r="B6" s="15" t="s">
        <v>13</v>
      </c>
      <c r="C6" s="16" t="s">
        <v>14</v>
      </c>
      <c r="D6" s="15" t="s">
        <v>9</v>
      </c>
      <c r="E6" s="17" t="s">
        <v>15</v>
      </c>
      <c r="F6" s="14" t="s">
        <v>16</v>
      </c>
      <c r="G6" s="18" t="s">
        <v>17</v>
      </c>
      <c r="H6" s="15" t="s">
        <v>18</v>
      </c>
      <c r="I6" s="18" t="s">
        <v>19</v>
      </c>
      <c r="J6" s="15" t="s">
        <v>20</v>
      </c>
      <c r="K6" s="19" t="s">
        <v>21</v>
      </c>
      <c r="L6" s="20" t="s">
        <v>22</v>
      </c>
      <c r="M6" s="31"/>
      <c r="N6" s="31"/>
      <c r="O6" s="32"/>
      <c r="P6" s="32"/>
      <c r="Q6" s="32"/>
      <c r="R6" s="7"/>
    </row>
    <row r="7" spans="1:18" ht="15.75" thickBot="1" x14ac:dyDescent="0.3">
      <c r="A7" s="21"/>
      <c r="B7" s="22"/>
      <c r="C7" s="23" t="s">
        <v>23</v>
      </c>
      <c r="D7" s="24"/>
      <c r="E7" s="25">
        <f>SUM(F7:K7)</f>
        <v>100</v>
      </c>
      <c r="F7" s="26">
        <v>10</v>
      </c>
      <c r="G7" s="27">
        <v>10</v>
      </c>
      <c r="H7" s="27">
        <v>10</v>
      </c>
      <c r="I7" s="27">
        <v>30</v>
      </c>
      <c r="J7" s="28">
        <v>30</v>
      </c>
      <c r="K7" s="29">
        <v>10</v>
      </c>
      <c r="L7" s="30"/>
      <c r="M7" s="44" t="s">
        <v>28</v>
      </c>
      <c r="N7" s="44"/>
      <c r="O7" s="6" t="s">
        <v>29</v>
      </c>
      <c r="P7" s="32"/>
      <c r="Q7" s="32"/>
      <c r="R7" s="7"/>
    </row>
    <row r="8" spans="1:18" x14ac:dyDescent="0.25">
      <c r="A8" s="36">
        <v>1</v>
      </c>
      <c r="B8" t="s">
        <v>0</v>
      </c>
      <c r="C8">
        <v>111111229</v>
      </c>
      <c r="D8" t="s">
        <v>5</v>
      </c>
      <c r="E8">
        <v>90.5</v>
      </c>
      <c r="G8" s="37"/>
      <c r="H8" s="37"/>
      <c r="I8" s="37"/>
      <c r="J8" s="37"/>
      <c r="K8" s="37"/>
      <c r="M8" s="44" t="s">
        <v>30</v>
      </c>
      <c r="N8" s="44"/>
      <c r="O8" s="38" t="s">
        <v>31</v>
      </c>
      <c r="P8" s="6"/>
      <c r="Q8" s="6"/>
      <c r="R8" s="34"/>
    </row>
    <row r="9" spans="1:18" x14ac:dyDescent="0.25">
      <c r="A9" s="36">
        <v>2</v>
      </c>
      <c r="B9" t="s">
        <v>1</v>
      </c>
      <c r="C9">
        <v>111111205</v>
      </c>
      <c r="D9" t="s">
        <v>6</v>
      </c>
      <c r="E9">
        <v>80.5</v>
      </c>
      <c r="G9" s="37"/>
      <c r="H9" s="37"/>
      <c r="I9" s="37"/>
      <c r="J9" s="37"/>
      <c r="K9" s="37"/>
      <c r="M9" s="44" t="s">
        <v>32</v>
      </c>
      <c r="N9" s="44"/>
      <c r="O9" s="6" t="s">
        <v>6</v>
      </c>
      <c r="P9" s="34"/>
      <c r="Q9" s="34"/>
      <c r="R9" s="32"/>
    </row>
    <row r="10" spans="1:18" ht="15.75" x14ac:dyDescent="0.25">
      <c r="A10" s="36">
        <v>3</v>
      </c>
      <c r="B10" t="s">
        <v>2</v>
      </c>
      <c r="C10">
        <v>111111006</v>
      </c>
      <c r="D10" t="s">
        <v>7</v>
      </c>
      <c r="E10">
        <v>70.5</v>
      </c>
      <c r="G10" s="37"/>
      <c r="H10" s="37"/>
      <c r="I10" s="37"/>
      <c r="J10" s="37"/>
      <c r="K10" s="37"/>
      <c r="M10" s="44" t="s">
        <v>33</v>
      </c>
      <c r="N10" s="44"/>
      <c r="O10" s="39" t="s">
        <v>34</v>
      </c>
      <c r="P10" s="40"/>
      <c r="Q10" s="40"/>
      <c r="R10" s="32"/>
    </row>
    <row r="11" spans="1:18" x14ac:dyDescent="0.25">
      <c r="A11" s="36">
        <v>4</v>
      </c>
      <c r="B11" t="s">
        <v>3</v>
      </c>
      <c r="C11">
        <v>111111011</v>
      </c>
      <c r="D11" t="s">
        <v>5</v>
      </c>
      <c r="E11">
        <v>60.5</v>
      </c>
      <c r="G11" s="37"/>
      <c r="H11" s="37"/>
      <c r="I11" s="37"/>
      <c r="J11" s="37"/>
      <c r="K11" s="37"/>
      <c r="M11" s="44" t="s">
        <v>35</v>
      </c>
      <c r="N11" s="44"/>
      <c r="O11" s="41" t="s">
        <v>36</v>
      </c>
      <c r="P11" s="40"/>
      <c r="Q11" s="40"/>
      <c r="R11" s="32"/>
    </row>
    <row r="12" spans="1:18" x14ac:dyDescent="0.25">
      <c r="A12" s="36">
        <v>5</v>
      </c>
      <c r="B12" t="s">
        <v>4</v>
      </c>
      <c r="C12">
        <v>111102001</v>
      </c>
      <c r="D12" t="s">
        <v>46</v>
      </c>
      <c r="E12">
        <v>50.5</v>
      </c>
      <c r="G12" s="37"/>
      <c r="H12" s="37"/>
      <c r="I12" s="37"/>
      <c r="J12" s="37"/>
      <c r="K12" s="37"/>
      <c r="M12" s="31"/>
      <c r="N12" s="31"/>
      <c r="O12" s="40"/>
      <c r="P12" s="40"/>
      <c r="Q12" s="40"/>
      <c r="R12" s="32"/>
    </row>
    <row r="13" spans="1:18" x14ac:dyDescent="0.25">
      <c r="A13" s="36"/>
      <c r="B13" t="s">
        <v>45</v>
      </c>
      <c r="C13">
        <v>111102008</v>
      </c>
      <c r="D13" t="s">
        <v>7</v>
      </c>
      <c r="E13" s="36">
        <v>40</v>
      </c>
      <c r="F13" s="37"/>
      <c r="G13" s="37"/>
      <c r="H13" s="37"/>
      <c r="I13" s="37"/>
      <c r="J13" s="37"/>
      <c r="K13" s="37"/>
      <c r="M13" s="42">
        <v>0</v>
      </c>
      <c r="N13" s="42" t="s">
        <v>37</v>
      </c>
      <c r="O13" s="40"/>
      <c r="P13" s="40"/>
      <c r="Q13" s="40"/>
      <c r="R13" s="32"/>
    </row>
    <row r="14" spans="1:18" x14ac:dyDescent="0.25">
      <c r="A14" s="36"/>
      <c r="B14" t="s">
        <v>47</v>
      </c>
      <c r="C14">
        <v>111102001</v>
      </c>
      <c r="D14" t="s">
        <v>7</v>
      </c>
      <c r="E14" s="36">
        <v>40</v>
      </c>
      <c r="F14" s="37"/>
      <c r="G14" s="37"/>
      <c r="H14" s="37"/>
      <c r="I14" s="37"/>
      <c r="J14" s="37"/>
      <c r="K14" s="37"/>
      <c r="M14" s="42">
        <v>55</v>
      </c>
      <c r="N14" s="42" t="s">
        <v>8</v>
      </c>
      <c r="O14" s="40"/>
      <c r="P14" s="40"/>
      <c r="Q14" s="40"/>
      <c r="R14" s="32"/>
    </row>
    <row r="15" spans="1:18" x14ac:dyDescent="0.25">
      <c r="A15" s="36"/>
      <c r="D15" s="36"/>
      <c r="E15" s="36"/>
      <c r="F15" s="37"/>
      <c r="G15" s="37"/>
      <c r="H15" s="37"/>
      <c r="I15" s="37"/>
      <c r="J15" s="37"/>
      <c r="K15" s="37"/>
      <c r="M15" s="42">
        <v>58</v>
      </c>
      <c r="N15" s="42" t="s">
        <v>38</v>
      </c>
      <c r="O15" s="40"/>
      <c r="P15" s="40"/>
      <c r="Q15" s="40"/>
      <c r="R15" s="32"/>
    </row>
    <row r="16" spans="1:18" x14ac:dyDescent="0.25">
      <c r="A16" s="36"/>
      <c r="D16" s="36"/>
      <c r="E16" s="36"/>
      <c r="F16" s="37"/>
      <c r="G16" s="37"/>
      <c r="H16" s="37"/>
      <c r="I16" s="37"/>
      <c r="J16" s="37"/>
      <c r="K16" s="37"/>
      <c r="M16" s="42">
        <v>62</v>
      </c>
      <c r="N16" s="42" t="s">
        <v>39</v>
      </c>
      <c r="O16" s="40"/>
      <c r="P16" s="40"/>
      <c r="Q16" s="40"/>
      <c r="R16" s="32"/>
    </row>
    <row r="17" spans="1:18" x14ac:dyDescent="0.25">
      <c r="A17" s="36"/>
      <c r="D17" s="36"/>
      <c r="E17" s="36"/>
      <c r="F17" s="37"/>
      <c r="G17" s="37"/>
      <c r="H17" s="37"/>
      <c r="I17" s="37"/>
      <c r="J17" s="37"/>
      <c r="K17" s="37"/>
      <c r="M17" s="42">
        <v>66</v>
      </c>
      <c r="N17" s="42" t="s">
        <v>7</v>
      </c>
      <c r="O17" s="40"/>
      <c r="P17" s="40"/>
      <c r="Q17" s="40"/>
      <c r="R17" s="32"/>
    </row>
    <row r="18" spans="1:18" x14ac:dyDescent="0.25">
      <c r="A18" s="36"/>
      <c r="D18" s="36"/>
      <c r="E18" s="36"/>
      <c r="F18" s="37"/>
      <c r="G18" s="37"/>
      <c r="H18" s="37"/>
      <c r="I18" s="37"/>
      <c r="J18" s="37"/>
      <c r="K18" s="37"/>
      <c r="L18" t="s">
        <v>40</v>
      </c>
      <c r="M18" s="42">
        <v>70</v>
      </c>
      <c r="N18" s="42" t="s">
        <v>41</v>
      </c>
      <c r="O18" s="40"/>
      <c r="P18" s="40"/>
      <c r="Q18" s="40"/>
      <c r="R18" s="32"/>
    </row>
    <row r="19" spans="1:18" x14ac:dyDescent="0.25">
      <c r="A19" s="36"/>
      <c r="D19" s="36"/>
      <c r="E19" s="36"/>
      <c r="F19" s="37"/>
      <c r="G19" s="37"/>
      <c r="H19" s="37"/>
      <c r="I19" s="37"/>
      <c r="J19" s="37"/>
      <c r="K19" s="37"/>
      <c r="L19" t="s">
        <v>40</v>
      </c>
      <c r="M19" s="42">
        <v>74</v>
      </c>
      <c r="N19" s="42" t="s">
        <v>42</v>
      </c>
      <c r="O19" s="40"/>
      <c r="P19" s="40"/>
      <c r="Q19" s="40"/>
      <c r="R19" s="32"/>
    </row>
    <row r="20" spans="1:18" x14ac:dyDescent="0.25">
      <c r="A20" s="36"/>
      <c r="D20" s="36"/>
      <c r="E20" s="36"/>
      <c r="F20" s="37"/>
      <c r="G20" s="37"/>
      <c r="H20" s="37"/>
      <c r="I20" s="37"/>
      <c r="J20" s="37"/>
      <c r="K20" s="37"/>
      <c r="M20" s="42">
        <v>78</v>
      </c>
      <c r="N20" s="42" t="s">
        <v>6</v>
      </c>
      <c r="O20" s="40"/>
      <c r="P20" s="40"/>
      <c r="Q20" s="40"/>
      <c r="R20" s="32"/>
    </row>
    <row r="21" spans="1:18" x14ac:dyDescent="0.25">
      <c r="A21" s="36"/>
      <c r="D21" s="36"/>
      <c r="E21" s="36"/>
      <c r="F21" s="37"/>
      <c r="G21" s="37"/>
      <c r="H21" s="37"/>
      <c r="I21" s="37"/>
      <c r="J21" s="37"/>
      <c r="K21" s="37"/>
      <c r="M21" s="42">
        <v>82</v>
      </c>
      <c r="N21" s="42" t="s">
        <v>43</v>
      </c>
      <c r="O21" s="40"/>
      <c r="P21" s="40"/>
      <c r="Q21" s="40"/>
      <c r="R21" s="32"/>
    </row>
    <row r="22" spans="1:18" x14ac:dyDescent="0.25">
      <c r="A22" s="36"/>
      <c r="D22" s="36"/>
      <c r="E22" s="36"/>
      <c r="F22" s="37"/>
      <c r="G22" s="37"/>
      <c r="H22" s="37"/>
      <c r="I22" s="37"/>
      <c r="J22" s="37"/>
      <c r="K22" s="37"/>
      <c r="M22" s="42">
        <v>86</v>
      </c>
      <c r="N22" s="42" t="s">
        <v>44</v>
      </c>
      <c r="O22" s="40"/>
      <c r="P22" s="40"/>
      <c r="Q22" s="40"/>
      <c r="R22" s="32"/>
    </row>
    <row r="23" spans="1:18" x14ac:dyDescent="0.25">
      <c r="A23" s="36"/>
      <c r="D23" s="36"/>
      <c r="E23" s="36"/>
      <c r="F23" s="37"/>
      <c r="G23" s="37"/>
      <c r="H23" s="37"/>
      <c r="I23" s="37"/>
      <c r="J23" s="37"/>
      <c r="K23" s="37"/>
      <c r="L23" t="s">
        <v>40</v>
      </c>
      <c r="M23" s="43">
        <v>90</v>
      </c>
      <c r="N23" s="42" t="s">
        <v>5</v>
      </c>
      <c r="O23" s="32"/>
      <c r="P23" s="32"/>
      <c r="Q23" s="32"/>
      <c r="R23" s="32"/>
    </row>
    <row r="24" spans="1:18" x14ac:dyDescent="0.25">
      <c r="A24" s="36"/>
      <c r="D24" s="36"/>
      <c r="E24" s="36"/>
      <c r="F24" s="37"/>
      <c r="G24" s="37"/>
      <c r="H24" s="37"/>
      <c r="I24" s="37"/>
      <c r="J24" s="37"/>
      <c r="K24" s="37"/>
      <c r="M24" s="31"/>
      <c r="N24" s="31"/>
      <c r="O24" s="32"/>
      <c r="P24" s="32"/>
      <c r="Q24" s="32"/>
      <c r="R24" s="32"/>
    </row>
    <row r="25" spans="1:18" x14ac:dyDescent="0.25">
      <c r="A25" s="36"/>
      <c r="D25" s="36"/>
      <c r="E25" s="36"/>
      <c r="F25" s="37"/>
      <c r="G25" s="37"/>
      <c r="H25" s="37"/>
      <c r="I25" s="37"/>
      <c r="J25" s="37"/>
      <c r="K25" s="37"/>
      <c r="M25" s="31"/>
      <c r="N25" s="31"/>
      <c r="O25" s="32"/>
      <c r="P25" s="32"/>
      <c r="Q25" s="32"/>
      <c r="R25" s="32"/>
    </row>
  </sheetData>
  <protectedRanges>
    <protectedRange sqref="M5" name="Range6"/>
    <protectedRange sqref="N7:N11" name="Range5"/>
    <protectedRange sqref="N3:N4" name="Range4"/>
    <protectedRange sqref="F7:I7" name="Range3_1"/>
    <protectedRange sqref="G9:K9" name="Range2"/>
    <protectedRange sqref="C8" name="Range1_1"/>
    <protectedRange sqref="C9:C25" name="Range1_2"/>
    <protectedRange sqref="B8" name="Range1_3"/>
    <protectedRange sqref="B9:B25" name="Range1_4"/>
    <protectedRange sqref="G8:K8" name="Range2_1"/>
    <protectedRange sqref="G10:K25 F13:F25" name="Range2_4"/>
  </protectedRanges>
  <mergeCells count="9">
    <mergeCell ref="M9:N9"/>
    <mergeCell ref="M10:N10"/>
    <mergeCell ref="M11:N11"/>
    <mergeCell ref="A1:L1"/>
    <mergeCell ref="C3:E3"/>
    <mergeCell ref="F5:G5"/>
    <mergeCell ref="H5:J5"/>
    <mergeCell ref="M7:N7"/>
    <mergeCell ref="M8:N8"/>
  </mergeCells>
  <conditionalFormatting sqref="J7">
    <cfRule type="cellIs" dxfId="14" priority="15" stopIfTrue="1" operator="lessThan">
      <formula>20</formula>
    </cfRule>
  </conditionalFormatting>
  <conditionalFormatting sqref="E7">
    <cfRule type="cellIs" dxfId="13" priority="14" stopIfTrue="1" operator="greaterThan">
      <formula>100</formula>
    </cfRule>
  </conditionalFormatting>
  <conditionalFormatting sqref="A8:A25">
    <cfRule type="expression" dxfId="12" priority="13" stopIfTrue="1">
      <formula>+AND(ISTEXT(B8)=TRUE,ISTEXT(C8)=TRUE)</formula>
    </cfRule>
  </conditionalFormatting>
  <conditionalFormatting sqref="B8:C25 D15:D25 G8:K25 F13:F25 E8:E12">
    <cfRule type="expression" dxfId="11" priority="12" stopIfTrue="1">
      <formula>+ISTEXT($C8)=TRUE</formula>
    </cfRule>
  </conditionalFormatting>
  <conditionalFormatting sqref="E13:E25">
    <cfRule type="expression" dxfId="10" priority="10" stopIfTrue="1">
      <formula>+AND(C13&lt;&gt;"",E13&lt;101)</formula>
    </cfRule>
    <cfRule type="cellIs" dxfId="9" priority="11" stopIfTrue="1" operator="greaterThan">
      <formula>100</formula>
    </cfRule>
  </conditionalFormatting>
  <conditionalFormatting sqref="L8:L25">
    <cfRule type="expression" dxfId="8" priority="9" stopIfTrue="1">
      <formula>+ISTEXT(L8)=TRUE</formula>
    </cfRule>
  </conditionalFormatting>
  <conditionalFormatting sqref="D8:D12">
    <cfRule type="expression" dxfId="7" priority="20" stopIfTrue="1">
      <formula>+AND(C8&lt;&gt;"",D8&lt;101)</formula>
    </cfRule>
    <cfRule type="cellIs" dxfId="6" priority="21" stopIfTrue="1" operator="greaterThan">
      <formula>100</formula>
    </cfRule>
  </conditionalFormatting>
  <conditionalFormatting sqref="D13">
    <cfRule type="expression" dxfId="5" priority="3" stopIfTrue="1">
      <formula>+AND(C13&lt;&gt;"",D13&lt;101)</formula>
    </cfRule>
    <cfRule type="cellIs" dxfId="4" priority="4" stopIfTrue="1" operator="greaterThan">
      <formula>100</formula>
    </cfRule>
  </conditionalFormatting>
  <conditionalFormatting sqref="D14">
    <cfRule type="expression" dxfId="3" priority="1" stopIfTrue="1">
      <formula>+AND(C14&lt;&gt;"",D14&lt;101)</formula>
    </cfRule>
    <cfRule type="cellIs" dxfId="2" priority="2" stopIfTrue="1" operator="greaterThan">
      <formula>100</formula>
    </cfRule>
  </conditionalFormatting>
  <dataValidations count="5">
    <dataValidation type="whole" allowBlank="1" showInputMessage="1" showErrorMessage="1" sqref="I8:J25">
      <formula1>0</formula1>
      <formula2>30</formula2>
    </dataValidation>
    <dataValidation type="whole" allowBlank="1" showInputMessage="1" showErrorMessage="1" error="Invalid Number" sqref="K8:K25">
      <formula1>0</formula1>
      <formula2>10</formula2>
    </dataValidation>
    <dataValidation type="whole" allowBlank="1" showInputMessage="1" showErrorMessage="1" error="Invalid number!!!!" sqref="G8:H25 F13:F25">
      <formula1>0</formula1>
      <formula2>10</formula2>
    </dataValidation>
    <dataValidation type="custom" operator="equal" showInputMessage="1" showErrorMessage="1" error="Incorrect ID, Plz insert a Valid ID !!!" sqref="C8:C25">
      <formula1>+AND(LEN(C8)=9,$N$5=2)</formula1>
    </dataValidation>
    <dataValidation type="custom" allowBlank="1" showInputMessage="1" showErrorMessage="1" error="Plz insert a correct Grade!!!" sqref="L8:L25">
      <formula1>+OR(L8="W", L8="I")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Course - X</vt:lpstr>
      <vt:lpstr>grd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2013-04-14T20:20:52Z</dcterms:modified>
</cp:coreProperties>
</file>